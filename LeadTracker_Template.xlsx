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📊 Dashboard" sheetId="3" state="visible" r:id="rId3"/>
  </sheets>
  <definedNames>
    <definedName name="_xlnm._FilterDatabase" localSheetId="0" hidden="1">'Lead Tracker'!$A$3:$P$54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B2A4A"/>
      <sz val="9"/>
    </font>
    <font>
      <name val="Arial"/>
      <b val="1"/>
      <color rgb="00FFFFFF"/>
      <sz val="10"/>
    </font>
    <font>
      <name val="Arial"/>
      <b val="1"/>
      <color rgb="001B2A4A"/>
      <sz val="10"/>
    </font>
    <font>
      <name val="Arial"/>
      <i val="1"/>
      <color rgb="00595959"/>
      <sz val="9"/>
    </font>
    <font>
      <name val="Arial"/>
      <color rgb="00000000"/>
      <sz val="10"/>
    </font>
    <font>
      <name val="Arial"/>
      <color rgb="00000000"/>
      <sz val="9"/>
    </font>
    <font>
      <name val="Arial"/>
      <color rgb="00595959"/>
      <sz val="9"/>
    </font>
    <font>
      <name val="Arial"/>
      <b val="1"/>
      <color rgb="001F4E79"/>
      <sz val="11"/>
    </font>
    <font>
      <name val="Arial"/>
      <b val="1"/>
      <color rgb="00375623"/>
      <sz val="11"/>
    </font>
    <font>
      <name val="Arial"/>
      <b val="1"/>
      <color rgb="007D6608"/>
      <sz val="11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EEAF1"/>
      </patternFill>
    </fill>
    <fill>
      <patternFill patternType="solid">
        <fgColor rgb="00C9A84C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0F6FA"/>
      </patternFill>
    </fill>
    <fill>
      <patternFill patternType="solid">
        <fgColor rgb="00F2F4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3" fontId="9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3" fontId="10" fillId="10" borderId="1" applyAlignment="1" pivotButton="0" quotePrefix="0" xfId="0">
      <alignment horizontal="center" vertical="center" wrapText="1"/>
    </xf>
    <xf numFmtId="164" fontId="11" fillId="6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center" vertical="center" wrapText="1"/>
    </xf>
    <xf numFmtId="165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375623"/>
      </font>
      <fill>
        <patternFill patternType="solid">
          <fgColor rgb="00E2EFDA"/>
        </patternFill>
      </fill>
    </dxf>
    <dxf>
      <font>
        <b val="1"/>
        <color rgb="007D6608"/>
      </font>
      <fill>
        <patternFill patternType="solid">
          <fgColor rgb="00FFF2CC"/>
        </patternFill>
      </fill>
    </dxf>
    <dxf>
      <font>
        <b val="1"/>
        <color rgb="00843C0C"/>
      </font>
      <fill>
        <patternFill patternType="solid">
          <fgColor rgb="00FCE4D6"/>
        </patternFill>
      </fill>
    </dxf>
    <dxf>
      <font>
        <color rgb="00595959"/>
      </font>
      <fill>
        <patternFill patternType="solid">
          <fgColor rgb="00D6DC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32" customWidth="1" min="4" max="4"/>
    <col width="16" customWidth="1" min="5" max="5"/>
    <col width="30" customWidth="1" min="6" max="6"/>
    <col width="32" customWidth="1" min="7" max="7"/>
    <col width="40" customWidth="1" min="8" max="8"/>
    <col width="9" customWidth="1" min="9" max="9"/>
    <col width="14" customWidth="1" min="10" max="10"/>
    <col width="16" customWidth="1" min="11" max="11"/>
    <col width="18" customWidth="1" min="12" max="12"/>
    <col width="14" customWidth="1" min="13" max="13"/>
    <col width="12" customWidth="1" min="14" max="14"/>
    <col width="36" customWidth="1" min="15" max="15"/>
    <col width="16" customWidth="1" min="16" max="16"/>
  </cols>
  <sheetData>
    <row r="1" ht="30" customHeight="1">
      <c r="A1" s="1" t="inlineStr">
        <is>
          <t>🗺️  MapsLeadExtractor — Lead Tracker &amp; Outreach CRM</t>
        </is>
      </c>
    </row>
    <row r="2" ht="24" customHeight="1">
      <c r="A2" s="2" t="inlineStr">
        <is>
          <t>IMPORT: Paste your MapsLeadExtractor CSV export below (columns A–H). Outreach tracking columns I–P are pre-built — just update the Status dropdown as you work.</t>
        </is>
      </c>
    </row>
    <row r="3" ht="36" customHeight="1">
      <c r="A3" s="3" t="inlineStr">
        <is>
          <t>Business Name</t>
        </is>
      </c>
      <c r="B3" s="3" t="inlineStr">
        <is>
          <t>Category</t>
        </is>
      </c>
      <c r="C3" s="3" t="inlineStr">
        <is>
          <t>City / Area</t>
        </is>
      </c>
      <c r="D3" s="3" t="inlineStr">
        <is>
          <t>Full Address</t>
        </is>
      </c>
      <c r="E3" s="3" t="inlineStr">
        <is>
          <t>Phone</t>
        </is>
      </c>
      <c r="F3" s="3" t="inlineStr">
        <is>
          <t>Email</t>
        </is>
      </c>
      <c r="G3" s="3" t="inlineStr">
        <is>
          <t>Website (Leave blank = No Site)</t>
        </is>
      </c>
      <c r="H3" s="3" t="inlineStr">
        <is>
          <t>Facebook Page URL</t>
        </is>
      </c>
      <c r="I3" s="4" t="inlineStr">
        <is>
          <t>Priority
(1–5)</t>
        </is>
      </c>
      <c r="J3" s="4" t="inlineStr">
        <is>
          <t>Date First
Contacted</t>
        </is>
      </c>
      <c r="K3" s="4" t="inlineStr">
        <is>
          <t>Outreach
Method</t>
        </is>
      </c>
      <c r="L3" s="4" t="inlineStr">
        <is>
          <t>Response
Status</t>
        </is>
      </c>
      <c r="M3" s="4" t="inlineStr">
        <is>
          <t>Follow-up
Date</t>
        </is>
      </c>
      <c r="N3" s="4" t="inlineStr">
        <is>
          <t>Deal Value
(£)</t>
        </is>
      </c>
      <c r="O3" s="4" t="inlineStr">
        <is>
          <t>Notes / Next Action</t>
        </is>
      </c>
      <c r="P3" s="4" t="inlineStr">
        <is>
          <t>Project
Status</t>
        </is>
      </c>
    </row>
    <row r="4" ht="20" customHeight="1">
      <c r="A4" s="5" t="inlineStr">
        <is>
          <t>Smith's Plumbing &amp; Heating</t>
        </is>
      </c>
      <c r="B4" s="6" t="inlineStr">
        <is>
          <t>Plumber</t>
        </is>
      </c>
      <c r="C4" s="6" t="inlineStr">
        <is>
          <t>Manchester</t>
        </is>
      </c>
      <c r="D4" s="6" t="inlineStr">
        <is>
          <t>14 High St, Manchester M1 1AA</t>
        </is>
      </c>
      <c r="E4" s="6" t="inlineStr">
        <is>
          <t>07712 345678</t>
        </is>
      </c>
      <c r="F4" s="6" t="inlineStr">
        <is>
          <t>smithsplumbing@gmail.com</t>
        </is>
      </c>
      <c r="G4" s="6" t="inlineStr"/>
      <c r="H4" s="6" t="inlineStr">
        <is>
          <t>https://facebook.com/smithsplumbing</t>
        </is>
      </c>
      <c r="I4" s="7" t="inlineStr">
        <is>
          <t>4</t>
        </is>
      </c>
      <c r="J4" s="7" t="inlineStr">
        <is>
          <t>06/05/2026</t>
        </is>
      </c>
      <c r="K4" s="7" t="inlineStr">
        <is>
          <t>Facebook DM</t>
        </is>
      </c>
      <c r="L4" s="7" t="inlineStr">
        <is>
          <t>Contacted</t>
        </is>
      </c>
      <c r="M4" s="7" t="inlineStr">
        <is>
          <t>13/05/2026</t>
        </is>
      </c>
      <c r="N4" s="7" t="inlineStr">
        <is>
          <t>499</t>
        </is>
      </c>
      <c r="O4" s="7" t="inlineStr">
        <is>
          <t>Sent mock-up — awaiting reply</t>
        </is>
      </c>
      <c r="P4" s="7" t="inlineStr">
        <is>
          <t>Prospecting</t>
        </is>
      </c>
    </row>
    <row r="5" ht="18" customHeight="1">
      <c r="A5" s="8" t="n"/>
      <c r="B5" s="8" t="n"/>
      <c r="C5" s="8" t="n"/>
      <c r="D5" s="8" t="n"/>
      <c r="E5" s="8" t="n"/>
      <c r="F5" s="8" t="n"/>
      <c r="G5" s="8" t="n"/>
      <c r="H5" s="8" t="n"/>
      <c r="I5" s="9" t="n"/>
      <c r="J5" s="9" t="n"/>
      <c r="K5" s="9" t="n"/>
      <c r="L5" s="9" t="n"/>
      <c r="M5" s="9" t="n"/>
      <c r="N5" s="9" t="n"/>
      <c r="O5" s="9" t="n"/>
      <c r="P5" s="9" t="n"/>
    </row>
    <row r="6" ht="18" customHeight="1">
      <c r="A6" s="10" t="n"/>
      <c r="B6" s="10" t="n"/>
      <c r="C6" s="10" t="n"/>
      <c r="D6" s="10" t="n"/>
      <c r="E6" s="10" t="n"/>
      <c r="F6" s="10" t="n"/>
      <c r="G6" s="10" t="n"/>
      <c r="H6" s="10" t="n"/>
      <c r="I6" s="11" t="n"/>
      <c r="J6" s="11" t="n"/>
      <c r="K6" s="11" t="n"/>
      <c r="L6" s="11" t="n"/>
      <c r="M6" s="11" t="n"/>
      <c r="N6" s="11" t="n"/>
      <c r="O6" s="11" t="n"/>
      <c r="P6" s="11" t="n"/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9" t="n"/>
      <c r="J7" s="9" t="n"/>
      <c r="K7" s="9" t="n"/>
      <c r="L7" s="9" t="n"/>
      <c r="M7" s="9" t="n"/>
      <c r="N7" s="9" t="n"/>
      <c r="O7" s="9" t="n"/>
      <c r="P7" s="9" t="n"/>
    </row>
    <row r="8" ht="18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1" t="n"/>
      <c r="J8" s="11" t="n"/>
      <c r="K8" s="11" t="n"/>
      <c r="L8" s="11" t="n"/>
      <c r="M8" s="11" t="n"/>
      <c r="N8" s="11" t="n"/>
      <c r="O8" s="11" t="n"/>
      <c r="P8" s="11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18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1" t="n"/>
      <c r="J10" s="11" t="n"/>
      <c r="K10" s="11" t="n"/>
      <c r="L10" s="11" t="n"/>
      <c r="M10" s="11" t="n"/>
      <c r="N10" s="11" t="n"/>
      <c r="O10" s="11" t="n"/>
      <c r="P10" s="11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  <c r="K11" s="9" t="n"/>
      <c r="L11" s="9" t="n"/>
      <c r="M11" s="9" t="n"/>
      <c r="N11" s="9" t="n"/>
      <c r="O11" s="9" t="n"/>
      <c r="P11" s="9" t="n"/>
    </row>
    <row r="12" ht="18" customHeight="1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1" t="n"/>
      <c r="J12" s="11" t="n"/>
      <c r="K12" s="11" t="n"/>
      <c r="L12" s="11" t="n"/>
      <c r="M12" s="11" t="n"/>
      <c r="N12" s="11" t="n"/>
      <c r="O12" s="11" t="n"/>
      <c r="P12" s="11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  <c r="K13" s="9" t="n"/>
      <c r="L13" s="9" t="n"/>
      <c r="M13" s="9" t="n"/>
      <c r="N13" s="9" t="n"/>
      <c r="O13" s="9" t="n"/>
      <c r="P13" s="9" t="n"/>
    </row>
    <row r="14" ht="18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1" t="n"/>
      <c r="J14" s="11" t="n"/>
      <c r="K14" s="11" t="n"/>
      <c r="L14" s="11" t="n"/>
      <c r="M14" s="11" t="n"/>
      <c r="N14" s="11" t="n"/>
      <c r="O14" s="11" t="n"/>
      <c r="P14" s="11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9" t="n"/>
      <c r="J15" s="9" t="n"/>
      <c r="K15" s="9" t="n"/>
      <c r="L15" s="9" t="n"/>
      <c r="M15" s="9" t="n"/>
      <c r="N15" s="9" t="n"/>
      <c r="O15" s="9" t="n"/>
      <c r="P15" s="9" t="n"/>
    </row>
    <row r="16" ht="18" customHeight="1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1" t="n"/>
      <c r="J16" s="11" t="n"/>
      <c r="K16" s="11" t="n"/>
      <c r="L16" s="11" t="n"/>
      <c r="M16" s="11" t="n"/>
      <c r="N16" s="11" t="n"/>
      <c r="O16" s="11" t="n"/>
      <c r="P16" s="11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9" t="n"/>
      <c r="J17" s="9" t="n"/>
      <c r="K17" s="9" t="n"/>
      <c r="L17" s="9" t="n"/>
      <c r="M17" s="9" t="n"/>
      <c r="N17" s="9" t="n"/>
      <c r="O17" s="9" t="n"/>
      <c r="P17" s="9" t="n"/>
    </row>
    <row r="18" ht="18" customHeight="1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1" t="n"/>
      <c r="J18" s="11" t="n"/>
      <c r="K18" s="11" t="n"/>
      <c r="L18" s="11" t="n"/>
      <c r="M18" s="11" t="n"/>
      <c r="N18" s="11" t="n"/>
      <c r="O18" s="11" t="n"/>
      <c r="P18" s="11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9" t="n"/>
      <c r="J19" s="9" t="n"/>
      <c r="K19" s="9" t="n"/>
      <c r="L19" s="9" t="n"/>
      <c r="M19" s="9" t="n"/>
      <c r="N19" s="9" t="n"/>
      <c r="O19" s="9" t="n"/>
      <c r="P19" s="9" t="n"/>
    </row>
    <row r="20" ht="18" customHeight="1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1" t="n"/>
      <c r="J20" s="11" t="n"/>
      <c r="K20" s="11" t="n"/>
      <c r="L20" s="11" t="n"/>
      <c r="M20" s="11" t="n"/>
      <c r="N20" s="11" t="n"/>
      <c r="O20" s="11" t="n"/>
      <c r="P20" s="11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9" t="n"/>
      <c r="J21" s="9" t="n"/>
      <c r="K21" s="9" t="n"/>
      <c r="L21" s="9" t="n"/>
      <c r="M21" s="9" t="n"/>
      <c r="N21" s="9" t="n"/>
      <c r="O21" s="9" t="n"/>
      <c r="P21" s="9" t="n"/>
    </row>
    <row r="22" ht="18" customHeight="1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1" t="n"/>
      <c r="J22" s="11" t="n"/>
      <c r="K22" s="11" t="n"/>
      <c r="L22" s="11" t="n"/>
      <c r="M22" s="11" t="n"/>
      <c r="N22" s="11" t="n"/>
      <c r="O22" s="11" t="n"/>
      <c r="P22" s="11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9" t="n"/>
      <c r="J23" s="9" t="n"/>
      <c r="K23" s="9" t="n"/>
      <c r="L23" s="9" t="n"/>
      <c r="M23" s="9" t="n"/>
      <c r="N23" s="9" t="n"/>
      <c r="O23" s="9" t="n"/>
      <c r="P23" s="9" t="n"/>
    </row>
    <row r="24" ht="18" customHeight="1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1" t="n"/>
      <c r="J24" s="11" t="n"/>
      <c r="K24" s="11" t="n"/>
      <c r="L24" s="11" t="n"/>
      <c r="M24" s="11" t="n"/>
      <c r="N24" s="11" t="n"/>
      <c r="O24" s="11" t="n"/>
      <c r="P24" s="11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9" t="n"/>
      <c r="J25" s="9" t="n"/>
      <c r="K25" s="9" t="n"/>
      <c r="L25" s="9" t="n"/>
      <c r="M25" s="9" t="n"/>
      <c r="N25" s="9" t="n"/>
      <c r="O25" s="9" t="n"/>
      <c r="P25" s="9" t="n"/>
    </row>
    <row r="26" ht="18" customHeight="1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1" t="n"/>
      <c r="J26" s="11" t="n"/>
      <c r="K26" s="11" t="n"/>
      <c r="L26" s="11" t="n"/>
      <c r="M26" s="11" t="n"/>
      <c r="N26" s="11" t="n"/>
      <c r="O26" s="11" t="n"/>
      <c r="P26" s="11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9" t="n"/>
      <c r="J27" s="9" t="n"/>
      <c r="K27" s="9" t="n"/>
      <c r="L27" s="9" t="n"/>
      <c r="M27" s="9" t="n"/>
      <c r="N27" s="9" t="n"/>
      <c r="O27" s="9" t="n"/>
      <c r="P27" s="9" t="n"/>
    </row>
    <row r="28" ht="18" customHeight="1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1" t="n"/>
      <c r="J28" s="11" t="n"/>
      <c r="K28" s="11" t="n"/>
      <c r="L28" s="11" t="n"/>
      <c r="M28" s="11" t="n"/>
      <c r="N28" s="11" t="n"/>
      <c r="O28" s="11" t="n"/>
      <c r="P28" s="11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9" t="n"/>
      <c r="J29" s="9" t="n"/>
      <c r="K29" s="9" t="n"/>
      <c r="L29" s="9" t="n"/>
      <c r="M29" s="9" t="n"/>
      <c r="N29" s="9" t="n"/>
      <c r="O29" s="9" t="n"/>
      <c r="P29" s="9" t="n"/>
    </row>
    <row r="30" ht="18" customHeight="1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1" t="n"/>
      <c r="J30" s="11" t="n"/>
      <c r="K30" s="11" t="n"/>
      <c r="L30" s="11" t="n"/>
      <c r="M30" s="11" t="n"/>
      <c r="N30" s="11" t="n"/>
      <c r="O30" s="11" t="n"/>
      <c r="P30" s="11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9" t="n"/>
      <c r="J31" s="9" t="n"/>
      <c r="K31" s="9" t="n"/>
      <c r="L31" s="9" t="n"/>
      <c r="M31" s="9" t="n"/>
      <c r="N31" s="9" t="n"/>
      <c r="O31" s="9" t="n"/>
      <c r="P31" s="9" t="n"/>
    </row>
    <row r="32" ht="18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1" t="n"/>
      <c r="J32" s="11" t="n"/>
      <c r="K32" s="11" t="n"/>
      <c r="L32" s="11" t="n"/>
      <c r="M32" s="11" t="n"/>
      <c r="N32" s="11" t="n"/>
      <c r="O32" s="11" t="n"/>
      <c r="P32" s="11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9" t="n"/>
      <c r="J33" s="9" t="n"/>
      <c r="K33" s="9" t="n"/>
      <c r="L33" s="9" t="n"/>
      <c r="M33" s="9" t="n"/>
      <c r="N33" s="9" t="n"/>
      <c r="O33" s="9" t="n"/>
      <c r="P33" s="9" t="n"/>
    </row>
    <row r="34" ht="18" customHeight="1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1" t="n"/>
      <c r="J34" s="11" t="n"/>
      <c r="K34" s="11" t="n"/>
      <c r="L34" s="11" t="n"/>
      <c r="M34" s="11" t="n"/>
      <c r="N34" s="11" t="n"/>
      <c r="O34" s="11" t="n"/>
      <c r="P34" s="11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9" t="n"/>
      <c r="J35" s="9" t="n"/>
      <c r="K35" s="9" t="n"/>
      <c r="L35" s="9" t="n"/>
      <c r="M35" s="9" t="n"/>
      <c r="N35" s="9" t="n"/>
      <c r="O35" s="9" t="n"/>
      <c r="P35" s="9" t="n"/>
    </row>
    <row r="36" ht="18" customHeight="1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1" t="n"/>
      <c r="J36" s="11" t="n"/>
      <c r="K36" s="11" t="n"/>
      <c r="L36" s="11" t="n"/>
      <c r="M36" s="11" t="n"/>
      <c r="N36" s="11" t="n"/>
      <c r="O36" s="11" t="n"/>
      <c r="P36" s="11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9" t="n"/>
      <c r="J37" s="9" t="n"/>
      <c r="K37" s="9" t="n"/>
      <c r="L37" s="9" t="n"/>
      <c r="M37" s="9" t="n"/>
      <c r="N37" s="9" t="n"/>
      <c r="O37" s="9" t="n"/>
      <c r="P37" s="9" t="n"/>
    </row>
    <row r="38" ht="18" customHeight="1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1" t="n"/>
      <c r="J38" s="11" t="n"/>
      <c r="K38" s="11" t="n"/>
      <c r="L38" s="11" t="n"/>
      <c r="M38" s="11" t="n"/>
      <c r="N38" s="11" t="n"/>
      <c r="O38" s="11" t="n"/>
      <c r="P38" s="11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9" t="n"/>
      <c r="J39" s="9" t="n"/>
      <c r="K39" s="9" t="n"/>
      <c r="L39" s="9" t="n"/>
      <c r="M39" s="9" t="n"/>
      <c r="N39" s="9" t="n"/>
      <c r="O39" s="9" t="n"/>
      <c r="P39" s="9" t="n"/>
    </row>
    <row r="40" ht="18" customHeight="1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1" t="n"/>
      <c r="J40" s="11" t="n"/>
      <c r="K40" s="11" t="n"/>
      <c r="L40" s="11" t="n"/>
      <c r="M40" s="11" t="n"/>
      <c r="N40" s="11" t="n"/>
      <c r="O40" s="11" t="n"/>
      <c r="P40" s="11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9" t="n"/>
      <c r="J41" s="9" t="n"/>
      <c r="K41" s="9" t="n"/>
      <c r="L41" s="9" t="n"/>
      <c r="M41" s="9" t="n"/>
      <c r="N41" s="9" t="n"/>
      <c r="O41" s="9" t="n"/>
      <c r="P41" s="9" t="n"/>
    </row>
    <row r="42" ht="18" customHeight="1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1" t="n"/>
      <c r="J42" s="11" t="n"/>
      <c r="K42" s="11" t="n"/>
      <c r="L42" s="11" t="n"/>
      <c r="M42" s="11" t="n"/>
      <c r="N42" s="11" t="n"/>
      <c r="O42" s="11" t="n"/>
      <c r="P42" s="11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9" t="n"/>
      <c r="J43" s="9" t="n"/>
      <c r="K43" s="9" t="n"/>
      <c r="L43" s="9" t="n"/>
      <c r="M43" s="9" t="n"/>
      <c r="N43" s="9" t="n"/>
      <c r="O43" s="9" t="n"/>
      <c r="P43" s="9" t="n"/>
    </row>
    <row r="44" ht="18" customHeight="1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1" t="n"/>
      <c r="J44" s="11" t="n"/>
      <c r="K44" s="11" t="n"/>
      <c r="L44" s="11" t="n"/>
      <c r="M44" s="11" t="n"/>
      <c r="N44" s="11" t="n"/>
      <c r="O44" s="11" t="n"/>
      <c r="P44" s="11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9" t="n"/>
      <c r="J45" s="9" t="n"/>
      <c r="K45" s="9" t="n"/>
      <c r="L45" s="9" t="n"/>
      <c r="M45" s="9" t="n"/>
      <c r="N45" s="9" t="n"/>
      <c r="O45" s="9" t="n"/>
      <c r="P45" s="9" t="n"/>
    </row>
    <row r="46" ht="18" customHeight="1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1" t="n"/>
      <c r="J46" s="11" t="n"/>
      <c r="K46" s="11" t="n"/>
      <c r="L46" s="11" t="n"/>
      <c r="M46" s="11" t="n"/>
      <c r="N46" s="11" t="n"/>
      <c r="O46" s="11" t="n"/>
      <c r="P46" s="11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9" t="n"/>
      <c r="J47" s="9" t="n"/>
      <c r="K47" s="9" t="n"/>
      <c r="L47" s="9" t="n"/>
      <c r="M47" s="9" t="n"/>
      <c r="N47" s="9" t="n"/>
      <c r="O47" s="9" t="n"/>
      <c r="P47" s="9" t="n"/>
    </row>
    <row r="48" ht="18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1" t="n"/>
      <c r="J48" s="11" t="n"/>
      <c r="K48" s="11" t="n"/>
      <c r="L48" s="11" t="n"/>
      <c r="M48" s="11" t="n"/>
      <c r="N48" s="11" t="n"/>
      <c r="O48" s="11" t="n"/>
      <c r="P48" s="11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9" t="n"/>
      <c r="J49" s="9" t="n"/>
      <c r="K49" s="9" t="n"/>
      <c r="L49" s="9" t="n"/>
      <c r="M49" s="9" t="n"/>
      <c r="N49" s="9" t="n"/>
      <c r="O49" s="9" t="n"/>
      <c r="P49" s="9" t="n"/>
    </row>
    <row r="50" ht="18" customHeight="1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1" t="n"/>
      <c r="J50" s="11" t="n"/>
      <c r="K50" s="11" t="n"/>
      <c r="L50" s="11" t="n"/>
      <c r="M50" s="11" t="n"/>
      <c r="N50" s="11" t="n"/>
      <c r="O50" s="11" t="n"/>
      <c r="P50" s="11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9" t="n"/>
      <c r="J51" s="9" t="n"/>
      <c r="K51" s="9" t="n"/>
      <c r="L51" s="9" t="n"/>
      <c r="M51" s="9" t="n"/>
      <c r="N51" s="9" t="n"/>
      <c r="O51" s="9" t="n"/>
      <c r="P51" s="9" t="n"/>
    </row>
    <row r="52" ht="18" customHeight="1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1" t="n"/>
      <c r="J52" s="11" t="n"/>
      <c r="K52" s="11" t="n"/>
      <c r="L52" s="11" t="n"/>
      <c r="M52" s="11" t="n"/>
      <c r="N52" s="11" t="n"/>
      <c r="O52" s="11" t="n"/>
      <c r="P52" s="11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9" t="n"/>
      <c r="J53" s="9" t="n"/>
      <c r="K53" s="9" t="n"/>
      <c r="L53" s="9" t="n"/>
      <c r="M53" s="9" t="n"/>
      <c r="N53" s="9" t="n"/>
      <c r="O53" s="9" t="n"/>
      <c r="P53" s="9" t="n"/>
    </row>
    <row r="54" ht="18" customHeight="1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1" t="n"/>
      <c r="J54" s="11" t="n"/>
      <c r="K54" s="11" t="n"/>
      <c r="L54" s="11" t="n"/>
      <c r="M54" s="11" t="n"/>
      <c r="N54" s="11" t="n"/>
      <c r="O54" s="11" t="n"/>
      <c r="P54" s="11" t="n"/>
    </row>
  </sheetData>
  <autoFilter ref="A3:P54"/>
  <mergeCells count="2">
    <mergeCell ref="A1:P1"/>
    <mergeCell ref="A2:P2"/>
  </mergeCells>
  <conditionalFormatting sqref="L5:L54">
    <cfRule type="cellIs" priority="1" operator="equal" dxfId="0">
      <formula>"Interested"</formula>
    </cfRule>
    <cfRule type="cellIs" priority="2" operator="equal" dxfId="1">
      <formula>"Contacted"</formula>
    </cfRule>
    <cfRule type="cellIs" priority="3" operator="equal" dxfId="2">
      <formula>"No Response"</formula>
    </cfRule>
    <cfRule type="cellIs" priority="4" operator="equal" dxfId="0">
      <formula>"Closed - Won"</formula>
    </cfRule>
    <cfRule type="cellIs" priority="5" operator="equal" dxfId="3">
      <formula>"Not Interested"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" t="inlineStr">
        <is>
          <t>How to Use This Template with MapsLeadExtractor</t>
        </is>
      </c>
    </row>
    <row r="2" ht="60" customHeight="1">
      <c r="A2" s="12" t="inlineStr">
        <is>
          <t>STEP</t>
        </is>
      </c>
      <c r="B2" s="12" t="inlineStr">
        <is>
          <t>WHAT TO DO</t>
        </is>
      </c>
    </row>
    <row r="3" ht="60" customHeight="1">
      <c r="A3" s="13" t="inlineStr">
        <is>
          <t>1. Get MapsLeadExtractor</t>
        </is>
      </c>
      <c r="B3" s="14" t="inlineStr">
        <is>
          <t>Go to mapsleadextractor.com and download the tool. It scrapes Google Maps for businesses that have NO website listed — perfect for finding web design clients.</t>
        </is>
      </c>
    </row>
    <row r="4" ht="60" customHeight="1">
      <c r="A4" s="15" t="inlineStr">
        <is>
          <t>2. Filter 'No Website'</t>
        </is>
      </c>
      <c r="B4" s="16" t="inlineStr">
        <is>
          <t>In MapsLeadExtractor, set the filter to 'Has Website = No'. Search by niche (e.g. 'plumber') and city. You can get 1,000+ verified leads in minutes.</t>
        </is>
      </c>
    </row>
    <row r="5" ht="60" customHeight="1">
      <c r="A5" s="13" t="inlineStr">
        <is>
          <t>3. Export CSV</t>
        </is>
      </c>
      <c r="B5" s="14" t="inlineStr">
        <is>
          <t>Export your results as a CSV file from MapsLeadExtractor.</t>
        </is>
      </c>
    </row>
    <row r="6" ht="60" customHeight="1">
      <c r="A6" s="15" t="inlineStr">
        <is>
          <t>4. Paste into this file</t>
        </is>
      </c>
      <c r="B6" s="16" t="inlineStr">
        <is>
          <t>Open your CSV, copy all rows, and paste them into the 'Lead Tracker' sheet starting at row 5. Columns A–H match the MapsLeadExtractor export format exactly.</t>
        </is>
      </c>
    </row>
    <row r="7" ht="60" customHeight="1">
      <c r="A7" s="13" t="inlineStr">
        <is>
          <t>5. Verify Facebook Pages</t>
        </is>
      </c>
      <c r="B7" s="14" t="inlineStr">
        <is>
          <t>For each lead, search '[Business Name] Facebook' to find their FB page. Paste the URL into column H. Businesses with active FB pages but no websites are your best prospects.</t>
        </is>
      </c>
    </row>
    <row r="8" ht="60" customHeight="1">
      <c r="A8" s="15" t="inlineStr">
        <is>
          <t>6. Set Priority (col I)</t>
        </is>
      </c>
      <c r="B8" s="16" t="inlineStr">
        <is>
          <t>Score each lead 1–5:
  5 = Has FB + phone + email → contact today
  4 = Has FB + one contact method
  3 = FB only (DM them)
  2 = Phone only
  1 = No contact info found</t>
        </is>
      </c>
    </row>
    <row r="9" ht="60" customHeight="1">
      <c r="A9" s="13" t="inlineStr">
        <is>
          <t>7. Start Outreach</t>
        </is>
      </c>
      <c r="B9" s="14" t="inlineStr">
        <is>
          <t>Work top-down by priority. Update 'Response Status' (col L) as you go:
  Not Contacted → Contacted → Interested → Closed - Won
The colour coding updates automatically.</t>
        </is>
      </c>
    </row>
    <row r="10" ht="60" customHeight="1">
      <c r="A10" s="15" t="inlineStr">
        <is>
          <t>8. Track Deal Value</t>
        </is>
      </c>
      <c r="B10" s="16" t="inlineStr">
        <is>
          <t>When a client agrees to proceed, enter your quoted price in col N (£). Use the Dashboard sheet to see your total pipeline value.</t>
        </is>
      </c>
    </row>
    <row r="11" ht="60" customHeight="1">
      <c r="A11" s="12" t="inlineStr">
        <is>
          <t>PRICING GUIDE</t>
        </is>
      </c>
      <c r="B11" s="12" t="inlineStr"/>
    </row>
    <row r="12" ht="60" customHeight="1">
      <c r="A12" s="17" t="inlineStr">
        <is>
          <t>Basic Website</t>
        </is>
      </c>
      <c r="B12" s="18" t="inlineStr">
        <is>
          <t>5-page site (Home, About, Services, Gallery, Contact) — £299 to £499</t>
        </is>
      </c>
    </row>
    <row r="13" ht="60" customHeight="1">
      <c r="A13" s="17" t="inlineStr">
        <is>
          <t>Standard Website</t>
        </is>
      </c>
      <c r="B13" s="19" t="inlineStr">
        <is>
          <t>10-page site with booking/enquiry form + SEO basics — £699 to £999</t>
        </is>
      </c>
    </row>
    <row r="14" ht="60" customHeight="1">
      <c r="A14" s="17" t="inlineStr">
        <is>
          <t>Premium Website</t>
        </is>
      </c>
      <c r="B14" s="18" t="inlineStr">
        <is>
          <t>E-commerce or complex site with integrations — £1,500 to £3,000+</t>
        </is>
      </c>
    </row>
    <row r="15" ht="60" customHeight="1">
      <c r="A15" s="17" t="inlineStr">
        <is>
          <t>Monthly Retainer</t>
        </is>
      </c>
      <c r="B15" s="19" t="inlineStr">
        <is>
          <t>Hosting, updates, minor edits — £49 to £99/month per client</t>
        </is>
      </c>
    </row>
    <row r="16" ht="60" customHeight="1">
      <c r="A16" s="12" t="inlineStr">
        <is>
          <t>OUTREACH SCRIPT</t>
        </is>
      </c>
      <c r="B16" s="12" t="inlineStr"/>
    </row>
    <row r="17" ht="60" customHeight="1">
      <c r="A17" s="17" t="inlineStr">
        <is>
          <t>Facebook DM</t>
        </is>
      </c>
      <c r="B17" s="19" t="inlineStr">
        <is>
          <t>Hi [Name]! I love what you're doing with [Business Name]. I noticed you're on Facebook but don't have your own website yet — a lot of your customers are probably searching Google and can't find you. I'm a local web designer and I'm offering a free no-obligation mock-up this month. Want me to show you what your site could look like? 😊</t>
        </is>
      </c>
    </row>
    <row r="18" ht="60" customHeight="1">
      <c r="A18" s="17" t="inlineStr">
        <is>
          <t>Cold Call Opener</t>
        </is>
      </c>
      <c r="B18" s="18" t="inlineStr">
        <is>
          <t>'Hi, is this [Name]? Great — I'm [Your Name], a local web designer. I came across your Facebook page and loved your work. Quick question — do you find that customers sometimes struggle to find you online?'  → Then listen and pivot to your offer.</t>
        </is>
      </c>
    </row>
    <row r="19" ht="60" customHeight="1">
      <c r="A19" s="17" t="inlineStr">
        <is>
          <t>Email Subject</t>
        </is>
      </c>
      <c r="B19" s="19" t="inlineStr">
        <is>
          <t>Subject: Quick question about [Business Name]
Hi [Name], I found your Facebook page and was really impressed by your [service]. I noticed you don't have a website yet — I specialise in building affordable websites for local businesses like yours. I've put together a quick free mock-up for you. Mind if I send it over? No strings attached.
Best, [Your Name]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30" customHeight="1">
      <c r="A1" s="1" t="inlineStr">
        <is>
          <t>Pipeline Dashboard — Auto-Calculated from Lead Tracker</t>
        </is>
      </c>
    </row>
    <row r="2" ht="24" customHeight="1">
      <c r="A2" s="20" t="inlineStr">
        <is>
          <t>METRIC</t>
        </is>
      </c>
      <c r="B2" s="20" t="inlineStr">
        <is>
          <t>SOURCE FORMULA</t>
        </is>
      </c>
      <c r="C2" s="20" t="inlineStr">
        <is>
          <t>LIVE VALUE</t>
        </is>
      </c>
    </row>
    <row r="3" ht="24" customHeight="1">
      <c r="A3" s="21" t="inlineStr">
        <is>
          <t>Total Leads Imported</t>
        </is>
      </c>
      <c r="B3" s="22">
        <f>COUNTA('Lead Tracker'!A5:A54)</f>
        <v/>
      </c>
      <c r="C3" s="23">
        <f>COUNTA('Lead Tracker'!A5:A54)</f>
        <v/>
      </c>
    </row>
    <row r="4" ht="24" customHeight="1">
      <c r="A4" s="24" t="inlineStr">
        <is>
          <t>Leads with Facebook Page</t>
        </is>
      </c>
      <c r="B4" s="25">
        <f>COUNTIF('Lead Tracker'!H5:H54,"http*")</f>
        <v/>
      </c>
      <c r="C4" s="23">
        <f>COUNTIF('Lead Tracker'!H5:H54,"http*")</f>
        <v/>
      </c>
    </row>
    <row r="5" ht="24" customHeight="1">
      <c r="A5" s="21" t="inlineStr">
        <is>
          <t>Leads with Phone Number</t>
        </is>
      </c>
      <c r="B5" s="22">
        <f>COUNTA('Lead Tracker'!E5:E54)</f>
        <v/>
      </c>
      <c r="C5" s="23">
        <f>COUNTA('Lead Tracker'!E5:E54)</f>
        <v/>
      </c>
    </row>
    <row r="6" ht="24" customHeight="1">
      <c r="A6" s="24" t="inlineStr">
        <is>
          <t>Leads with Email</t>
        </is>
      </c>
      <c r="B6" s="25">
        <f>COUNTA('Lead Tracker'!F5:F54)</f>
        <v/>
      </c>
      <c r="C6" s="23">
        <f>COUNTA('Lead Tracker'!F5:F54)</f>
        <v/>
      </c>
    </row>
    <row r="7" ht="24" customHeight="1">
      <c r="A7" s="21" t="inlineStr">
        <is>
          <t>Not Yet Contacted</t>
        </is>
      </c>
      <c r="B7" s="22">
        <f>COUNTIF('Lead Tracker'!L5:L54,"Not Contacted")</f>
        <v/>
      </c>
      <c r="C7" s="23">
        <f>COUNTIF('Lead Tracker'!L5:L54,"Not Contacted")</f>
        <v/>
      </c>
    </row>
    <row r="8" ht="24" customHeight="1">
      <c r="A8" s="24" t="inlineStr">
        <is>
          <t>Contacted (Awaiting Reply)</t>
        </is>
      </c>
      <c r="B8" s="25">
        <f>COUNTIF('Lead Tracker'!L5:L54,"Contacted")</f>
        <v/>
      </c>
      <c r="C8" s="23">
        <f>COUNTIF('Lead Tracker'!L5:L54,"Contacted")</f>
        <v/>
      </c>
    </row>
    <row r="9" ht="24" customHeight="1">
      <c r="A9" s="21" t="inlineStr">
        <is>
          <t>Interested</t>
        </is>
      </c>
      <c r="B9" s="22">
        <f>COUNTIF('Lead Tracker'!L5:L54,"Interested")</f>
        <v/>
      </c>
      <c r="C9" s="23">
        <f>COUNTIF('Lead Tracker'!L5:L54,"Interested")</f>
        <v/>
      </c>
    </row>
    <row r="10" ht="24" customHeight="1">
      <c r="A10" s="24" t="inlineStr">
        <is>
          <t>Closed — Won</t>
        </is>
      </c>
      <c r="B10" s="25">
        <f>COUNTIF('Lead Tracker'!L5:L54,"Closed - Won")</f>
        <v/>
      </c>
      <c r="C10" s="26">
        <f>COUNTIF('Lead Tracker'!L5:L54,"Closed - Won")</f>
        <v/>
      </c>
    </row>
    <row r="11" ht="24" customHeight="1">
      <c r="A11" s="21" t="inlineStr">
        <is>
          <t>Not Interested / Dead</t>
        </is>
      </c>
      <c r="B11" s="22">
        <f>COUNTIF('Lead Tracker'!L5:L54,"Not Interested")</f>
        <v/>
      </c>
      <c r="C11" s="23">
        <f>COUNTIF('Lead Tracker'!L5:L54,"Not Interested")</f>
        <v/>
      </c>
    </row>
    <row r="12" ht="24" customHeight="1">
      <c r="A12" s="24" t="inlineStr">
        <is>
          <t>Total Pipeline Value (£)</t>
        </is>
      </c>
      <c r="B12" s="25">
        <f>SUMIF('Lead Tracker'!L5:L54,"Interested",'Lead Tracker'!N5:N54)+SUMIF('Lead Tracker'!L5:L54,"Contacted",'Lead Tracker'!N5:N54)</f>
        <v/>
      </c>
      <c r="C12" s="27">
        <f>SUMIF('Lead Tracker'!L5:L54,"Interested",'Lead Tracker'!N5:N54)+SUMIF('Lead Tracker'!L5:L54,"Contacted",'Lead Tracker'!N5:N54)</f>
        <v/>
      </c>
    </row>
    <row r="13" ht="24" customHeight="1">
      <c r="A13" s="21" t="inlineStr">
        <is>
          <t>Revenue Closed (£)</t>
        </is>
      </c>
      <c r="B13" s="22">
        <f>SUMIF('Lead Tracker'!L5:L54,"Closed - Won",'Lead Tracker'!N5:N54)</f>
        <v/>
      </c>
      <c r="C13" s="28">
        <f>SUMIF('Lead Tracker'!L5:L54,"Closed - Won",'Lead Tracker'!N5:N54)</f>
        <v/>
      </c>
    </row>
    <row r="14" ht="24" customHeight="1">
      <c r="A14" s="24" t="inlineStr">
        <is>
          <t>Conversion Rate</t>
        </is>
      </c>
      <c r="B14" s="25">
        <f>IF(COUNTA('Lead Tracker'!A5:A54)=0,"-",COUNTIF('Lead Tracker'!L5:L54,"Closed - Won")/COUNTA('Lead Tracker'!A5:A54))</f>
        <v/>
      </c>
      <c r="C14" s="29">
        <f>IF(COUNTA('Lead Tracker'!A5:A54)=0,"-",COUNTIF('Lead Tracker'!L5:L54,"Closed - Won")/COUNTA('Lead Tracker'!A5:A54))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2026-05-06T05:56:06Z</dcterms:created>
  <dcterms:modified xmlns:dcterms="http://purl.org/dc/terms/" xmlns:xsi="http://www.w3.org/2001/XMLSchema-instance" xsi:type="dcterms:W3CDTF">2026-05-06T05:56:07Z</dcterms:modified>
</cp:coreProperties>
</file>